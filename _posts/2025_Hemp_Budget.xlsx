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merp\Box\Umer-DK\"/>
    </mc:Choice>
  </mc:AlternateContent>
  <xr:revisionPtr revIDLastSave="0" documentId="13_ncr:1_{422718E2-B898-4CE9-8366-67D2319F5156}" xr6:coauthVersionLast="47" xr6:coauthVersionMax="47" xr10:uidLastSave="{00000000-0000-0000-0000-000000000000}"/>
  <bookViews>
    <workbookView xWindow="-11820" yWindow="-15870" windowWidth="25440" windowHeight="15270" xr2:uid="{3820838E-9750-49EE-BB21-44AB8D7F402A}"/>
  </bookViews>
  <sheets>
    <sheet name="Sheet4"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4" l="1"/>
  <c r="C19" i="4" l="1"/>
  <c r="C24" i="4"/>
  <c r="B44" i="4"/>
  <c r="C43" i="4"/>
  <c r="C42" i="4"/>
  <c r="C41" i="4"/>
  <c r="C37" i="4"/>
  <c r="C36" i="4"/>
  <c r="C35" i="4"/>
  <c r="C34" i="4"/>
  <c r="C33" i="4"/>
  <c r="C31" i="4"/>
  <c r="C29" i="4"/>
  <c r="B30" i="4"/>
  <c r="B32" i="4"/>
  <c r="C32" i="4" s="1"/>
  <c r="C22" i="4"/>
  <c r="C21" i="4"/>
  <c r="C20" i="4"/>
  <c r="C18" i="4"/>
  <c r="B23" i="4"/>
  <c r="C23" i="4" s="1"/>
  <c r="C12" i="4"/>
  <c r="B11" i="4"/>
  <c r="C11" i="4" s="1"/>
  <c r="B10" i="4"/>
  <c r="C10" i="4" s="1"/>
  <c r="C44" i="4" l="1"/>
  <c r="B38" i="4"/>
  <c r="C30" i="4"/>
  <c r="C38" i="4" s="1"/>
  <c r="C26" i="4"/>
  <c r="B26" i="4"/>
  <c r="C14" i="4"/>
  <c r="B14" i="4"/>
  <c r="B46" i="4" l="1"/>
  <c r="B47" i="4" s="1"/>
  <c r="B50" i="4"/>
  <c r="C46" i="4"/>
  <c r="C47" i="4" s="1"/>
  <c r="B49" i="4" l="1"/>
</calcChain>
</file>

<file path=xl/sharedStrings.xml><?xml version="1.0" encoding="utf-8"?>
<sst xmlns="http://schemas.openxmlformats.org/spreadsheetml/2006/main" count="69" uniqueCount="66">
  <si>
    <t>Government Payments</t>
  </si>
  <si>
    <t>Per Acre</t>
  </si>
  <si>
    <t>Total Acres</t>
  </si>
  <si>
    <t>Seed</t>
  </si>
  <si>
    <t>Fertilizer</t>
  </si>
  <si>
    <t>Hemp Budget Estimator</t>
  </si>
  <si>
    <t>Grain</t>
  </si>
  <si>
    <t>Fiber</t>
  </si>
  <si>
    <t>Dual</t>
  </si>
  <si>
    <t>Seed Rate (lb/ac)</t>
  </si>
  <si>
    <t xml:space="preserve">Item </t>
  </si>
  <si>
    <t>Price_Grain ($/lb)</t>
  </si>
  <si>
    <t>Price_Fiber ($/ton)</t>
  </si>
  <si>
    <t>⬇️</t>
  </si>
  <si>
    <t>Acre</t>
  </si>
  <si>
    <t xml:space="preserve">Grain Revenue </t>
  </si>
  <si>
    <t>Fiber Revenue</t>
  </si>
  <si>
    <t>Grain Yield (lbs/ac)</t>
  </si>
  <si>
    <t>Fiber Yield (ton/ac)</t>
  </si>
  <si>
    <t xml:space="preserve">Total Gross Revenue </t>
  </si>
  <si>
    <t xml:space="preserve">Income </t>
  </si>
  <si>
    <t>Distance to Delivery point</t>
  </si>
  <si>
    <t>Expense</t>
  </si>
  <si>
    <t>Custom Expense</t>
  </si>
  <si>
    <t>Lime Application</t>
  </si>
  <si>
    <t>Dry Fertilizer Application</t>
  </si>
  <si>
    <t xml:space="preserve">Tillage </t>
  </si>
  <si>
    <t>Pre Plant Spray</t>
  </si>
  <si>
    <t>Planting</t>
  </si>
  <si>
    <t>Delivery – Grain ($/bu)</t>
  </si>
  <si>
    <t>Delivery – Fiber ($/mile)</t>
  </si>
  <si>
    <t>Bales per Ton</t>
  </si>
  <si>
    <t>Combine – Grain ($/ac)</t>
  </si>
  <si>
    <t>Combine – Fiber ($/bale)</t>
  </si>
  <si>
    <t>Combine w/Grain Cart</t>
  </si>
  <si>
    <t>Delivery cost</t>
  </si>
  <si>
    <t>Total Custom Expense</t>
  </si>
  <si>
    <t>Seed Price ($/lb)</t>
  </si>
  <si>
    <t>Urea N%</t>
  </si>
  <si>
    <t>Urea Price ($/ton)</t>
  </si>
  <si>
    <t>Direct Expense</t>
  </si>
  <si>
    <t>Lime</t>
  </si>
  <si>
    <t xml:space="preserve">Pre Plant Herbicide </t>
  </si>
  <si>
    <t>Crop Insurnace</t>
  </si>
  <si>
    <t>Grain Storage</t>
  </si>
  <si>
    <t>Grain Drying</t>
  </si>
  <si>
    <t>Grain Storage Tax</t>
  </si>
  <si>
    <t>N Rate (lb/ac)</t>
  </si>
  <si>
    <t>Others</t>
  </si>
  <si>
    <t>Total Direct Expense</t>
  </si>
  <si>
    <t>Indirect Expense</t>
  </si>
  <si>
    <t>Soil Sampling</t>
  </si>
  <si>
    <t>Grain Bin Utilities</t>
  </si>
  <si>
    <t>Total Expenses</t>
  </si>
  <si>
    <t>Total Profit or loss</t>
  </si>
  <si>
    <t>Break-Even Grain Yield (lb/ac)</t>
  </si>
  <si>
    <t>Break-even Fiber Yield (tons/ac)</t>
  </si>
  <si>
    <t>How to use?</t>
  </si>
  <si>
    <t>Assumptions</t>
  </si>
  <si>
    <r>
      <rPr>
        <b/>
        <sz val="11"/>
        <color theme="9"/>
        <rFont val="Aptos Narrow"/>
        <family val="2"/>
        <scheme val="minor"/>
      </rPr>
      <t>Choose the production scenario</t>
    </r>
    <r>
      <rPr>
        <sz val="11"/>
        <color theme="1"/>
        <rFont val="Aptos Narrow"/>
        <family val="2"/>
        <scheme val="minor"/>
      </rPr>
      <t xml:space="preserve"> (Grain, Fiber, Dual) from the dropdown; all revenue, expenses, and break-even results will update automatically based on the selected scenario.</t>
    </r>
  </si>
  <si>
    <r>
      <rPr>
        <b/>
        <sz val="11"/>
        <color rgb="FF0070C0"/>
        <rFont val="Aptos Narrow"/>
        <family val="2"/>
        <scheme val="minor"/>
      </rPr>
      <t>Light peach and light green cells</t>
    </r>
    <r>
      <rPr>
        <sz val="11"/>
        <color theme="1"/>
        <rFont val="Aptos Narrow"/>
        <family val="2"/>
        <scheme val="minor"/>
      </rPr>
      <t xml:space="preserve"> contain</t>
    </r>
    <r>
      <rPr>
        <b/>
        <sz val="11"/>
        <color rgb="FFFF0000"/>
        <rFont val="Aptos Narrow"/>
        <family val="2"/>
        <scheme val="minor"/>
      </rPr>
      <t xml:space="preserve"> formulas</t>
    </r>
    <r>
      <rPr>
        <sz val="11"/>
        <color theme="1"/>
        <rFont val="Aptos Narrow"/>
        <family val="2"/>
        <scheme val="minor"/>
      </rPr>
      <t xml:space="preserve">. </t>
    </r>
    <r>
      <rPr>
        <u/>
        <sz val="11"/>
        <color rgb="FFFF0000"/>
        <rFont val="Aptos Narrow"/>
        <family val="2"/>
        <scheme val="minor"/>
      </rPr>
      <t>Do not edit these.</t>
    </r>
  </si>
  <si>
    <r>
      <rPr>
        <b/>
        <sz val="11"/>
        <color theme="9"/>
        <rFont val="Aptos Narrow"/>
        <family val="2"/>
        <scheme val="minor"/>
      </rPr>
      <t>Enter values</t>
    </r>
    <r>
      <rPr>
        <sz val="11"/>
        <color theme="1"/>
        <rFont val="Aptos Narrow"/>
        <family val="2"/>
        <scheme val="minor"/>
      </rPr>
      <t xml:space="preserve"> only in the </t>
    </r>
    <r>
      <rPr>
        <b/>
        <sz val="11"/>
        <color theme="8" tint="0.39997558519241921"/>
        <rFont val="Aptos Narrow"/>
        <family val="2"/>
        <scheme val="minor"/>
      </rPr>
      <t>dark gray cells</t>
    </r>
    <r>
      <rPr>
        <sz val="11"/>
        <color theme="1"/>
        <rFont val="Aptos Narrow"/>
        <family val="2"/>
        <scheme val="minor"/>
      </rPr>
      <t>: grain yield (lbs/ac), fiber yield (tons/ac), acres, and delivery distance (miles).</t>
    </r>
  </si>
  <si>
    <r>
      <rPr>
        <b/>
        <sz val="11"/>
        <color theme="7" tint="-0.249977111117893"/>
        <rFont val="Aptos Narrow"/>
        <family val="2"/>
        <scheme val="minor"/>
      </rPr>
      <t>Light blue cells</t>
    </r>
    <r>
      <rPr>
        <sz val="11"/>
        <color theme="1"/>
        <rFont val="Aptos Narrow"/>
        <family val="2"/>
        <scheme val="minor"/>
      </rPr>
      <t xml:space="preserve"> are price assumptions, cost rates, and management values. These </t>
    </r>
    <r>
      <rPr>
        <b/>
        <i/>
        <sz val="11"/>
        <color theme="9" tint="-0.249977111117893"/>
        <rFont val="Aptos Narrow"/>
        <family val="2"/>
        <scheme val="minor"/>
      </rPr>
      <t>can be changed when market prices or custom rates change.</t>
    </r>
  </si>
  <si>
    <t>For the Dual scenario, break-even values are calculated by splitting the total cost 50% to grain and 50% to fiber.
Delivery cost is based on the distance you enter and the scenario-specific trucking rate.
Seed rate, fertilizer rate, combine cost, and delivery cost all adjust automatically according to the selected scenario.
Profit or loss is calculated from total income minus all expenses.
Assumptions used: 1 bushel of grain = 44 lbs; 1 ton = 2 bales; urea price per ton as listed; delivery rate and custom operation rates come from local averages and can be edited in the light blue table.</t>
  </si>
  <si>
    <t xml:space="preserve">Select Scenario  </t>
  </si>
  <si>
    <t>Prepared by: Muhammad Umer Arshad
Check By : Alex Ruiz
Supervised By: Prof. DK Lee
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</si>
</sst>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name val="Aptos Narrow"/>
      <family val="2"/>
      <scheme val="minor"/>
    </font>
    <font>
      <b/>
      <sz val="11"/>
      <color rgb="FFFF0000"/>
      <name val="Aptos Narrow"/>
      <family val="2"/>
      <scheme val="minor"/>
    </font>
    <font>
      <b/>
      <sz val="11"/>
      <color theme="9"/>
      <name val="Aptos Narrow"/>
      <family val="2"/>
      <scheme val="minor"/>
    </font>
    <font>
      <b/>
      <sz val="11"/>
      <color rgb="FF0070C0"/>
      <name val="Aptos Narrow"/>
      <family val="2"/>
      <scheme val="minor"/>
    </font>
    <font>
      <u/>
      <sz val="11"/>
      <color rgb="FFFF0000"/>
      <name val="Aptos Narrow"/>
      <family val="2"/>
      <scheme val="minor"/>
    </font>
    <font>
      <b/>
      <sz val="11"/>
      <color theme="8" tint="0.39997558519241921"/>
      <name val="Aptos Narrow"/>
      <family val="2"/>
      <scheme val="minor"/>
    </font>
    <font>
      <b/>
      <sz val="11"/>
      <color theme="7" tint="-0.249977111117893"/>
      <name val="Aptos Narrow"/>
      <family val="2"/>
      <scheme val="minor"/>
    </font>
    <font>
      <b/>
      <i/>
      <sz val="11"/>
      <color theme="9" tint="-0.249977111117893"/>
      <name val="Aptos Narrow"/>
      <family val="2"/>
      <scheme val="minor"/>
    </font>
    <font>
      <sz val="9"/>
      <color theme="1"/>
      <name val="Aptos Narrow"/>
      <family val="2"/>
      <scheme val="minor"/>
    </font>
    <font>
      <b/>
      <sz val="8"/>
      <color rgb="FFFF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39997558519241921"/>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72">
    <xf numFmtId="0" fontId="0" fillId="0" borderId="0" xfId="0"/>
    <xf numFmtId="44" fontId="3" fillId="3" borderId="10" xfId="1" applyFont="1" applyFill="1" applyBorder="1" applyAlignment="1" applyProtection="1">
      <alignment horizontal="center" vertical="center"/>
    </xf>
    <xf numFmtId="44" fontId="3" fillId="8" borderId="17" xfId="1" applyFont="1" applyFill="1" applyBorder="1" applyAlignment="1" applyProtection="1">
      <alignment horizontal="center" vertical="center"/>
    </xf>
    <xf numFmtId="44" fontId="3" fillId="7" borderId="14" xfId="1" applyFont="1" applyFill="1" applyBorder="1" applyAlignment="1" applyProtection="1">
      <alignment horizontal="center" vertical="center"/>
    </xf>
    <xf numFmtId="44" fontId="3" fillId="8" borderId="13" xfId="1" applyFont="1" applyFill="1" applyBorder="1" applyAlignment="1" applyProtection="1">
      <alignment horizontal="center" vertical="center"/>
    </xf>
    <xf numFmtId="44" fontId="0" fillId="8" borderId="3" xfId="0" applyNumberFormat="1" applyFill="1" applyBorder="1"/>
    <xf numFmtId="44" fontId="0" fillId="8" borderId="9" xfId="0" applyNumberFormat="1" applyFill="1" applyBorder="1"/>
    <xf numFmtId="2" fontId="0" fillId="3" borderId="18" xfId="0" applyNumberFormat="1" applyFill="1" applyBorder="1"/>
    <xf numFmtId="2" fontId="0" fillId="3" borderId="20" xfId="0" applyNumberFormat="1" applyFill="1" applyBorder="1"/>
    <xf numFmtId="0" fontId="0" fillId="0" borderId="15" xfId="0" applyBorder="1" applyAlignment="1">
      <alignment horizontal="left" wrapText="1"/>
    </xf>
    <xf numFmtId="0" fontId="0" fillId="0" borderId="10" xfId="0" applyBorder="1" applyAlignment="1">
      <alignment horizontal="left" wrapText="1"/>
    </xf>
    <xf numFmtId="0" fontId="0" fillId="0" borderId="14" xfId="0" applyBorder="1" applyAlignment="1">
      <alignment horizontal="left" wrapText="1"/>
    </xf>
    <xf numFmtId="0" fontId="0" fillId="2" borderId="15" xfId="0" applyFill="1" applyBorder="1" applyAlignment="1">
      <alignment horizontal="left" wrapText="1"/>
    </xf>
    <xf numFmtId="0" fontId="0" fillId="2" borderId="10" xfId="0" applyFill="1" applyBorder="1" applyAlignment="1">
      <alignment horizontal="left" wrapText="1"/>
    </xf>
    <xf numFmtId="0" fontId="0" fillId="2" borderId="14" xfId="0" applyFill="1"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0" fontId="0" fillId="0" borderId="26" xfId="0" applyBorder="1" applyAlignment="1">
      <alignment horizontal="left" wrapText="1"/>
    </xf>
    <xf numFmtId="0" fontId="0" fillId="2" borderId="21" xfId="0" applyFill="1" applyBorder="1" applyAlignment="1">
      <alignment horizontal="left"/>
    </xf>
    <xf numFmtId="0" fontId="0" fillId="2" borderId="22" xfId="0" applyFill="1" applyBorder="1" applyAlignment="1">
      <alignment horizontal="left"/>
    </xf>
    <xf numFmtId="0" fontId="0" fillId="2" borderId="23" xfId="0" applyFill="1" applyBorder="1" applyAlignment="1">
      <alignment horizontal="left"/>
    </xf>
    <xf numFmtId="0" fontId="12" fillId="0" borderId="1" xfId="0" applyFont="1" applyBorder="1" applyAlignment="1">
      <alignment horizontal="left" vertical="top" wrapText="1"/>
    </xf>
    <xf numFmtId="0" fontId="12" fillId="0" borderId="2" xfId="0" applyFont="1" applyBorder="1" applyAlignment="1">
      <alignment horizontal="left" vertical="top"/>
    </xf>
    <xf numFmtId="0" fontId="12" fillId="0" borderId="3" xfId="0" applyFont="1" applyBorder="1" applyAlignment="1">
      <alignment horizontal="left" vertical="top"/>
    </xf>
    <xf numFmtId="0" fontId="12" fillId="0" borderId="4" xfId="0" applyFont="1" applyBorder="1" applyAlignment="1">
      <alignment horizontal="left" vertical="top"/>
    </xf>
    <xf numFmtId="0" fontId="12" fillId="0" borderId="0" xfId="0" applyFont="1" applyAlignment="1">
      <alignment horizontal="left" vertical="top"/>
    </xf>
    <xf numFmtId="0" fontId="12" fillId="0" borderId="5" xfId="0" applyFont="1" applyBorder="1" applyAlignment="1">
      <alignment horizontal="left" vertical="top"/>
    </xf>
    <xf numFmtId="0" fontId="12" fillId="0" borderId="6" xfId="0" applyFont="1" applyBorder="1" applyAlignment="1">
      <alignment horizontal="left" vertical="top"/>
    </xf>
    <xf numFmtId="0" fontId="12" fillId="0" borderId="7" xfId="0" applyFont="1" applyBorder="1" applyAlignment="1">
      <alignment horizontal="left" vertical="top"/>
    </xf>
    <xf numFmtId="0" fontId="12" fillId="0" borderId="8" xfId="0" applyFont="1" applyBorder="1" applyAlignment="1">
      <alignment horizontal="left" vertical="top"/>
    </xf>
    <xf numFmtId="0" fontId="0" fillId="0" borderId="0" xfId="0" applyProtection="1">
      <protection locked="0"/>
    </xf>
    <xf numFmtId="0" fontId="0" fillId="0" borderId="0" xfId="0" applyAlignment="1" applyProtection="1">
      <alignment wrapText="1"/>
      <protection locked="0"/>
    </xf>
    <xf numFmtId="0" fontId="0" fillId="0" borderId="5" xfId="0" applyBorder="1" applyProtection="1">
      <protection locked="0"/>
    </xf>
    <xf numFmtId="0" fontId="0" fillId="0" borderId="8" xfId="0" applyBorder="1" applyProtection="1">
      <protection locked="0"/>
    </xf>
    <xf numFmtId="0" fontId="0" fillId="0" borderId="18" xfId="0" applyBorder="1" applyProtection="1">
      <protection locked="0"/>
    </xf>
    <xf numFmtId="0" fontId="0" fillId="0" borderId="4" xfId="0" applyBorder="1" applyProtection="1">
      <protection locked="0"/>
    </xf>
    <xf numFmtId="0" fontId="0" fillId="0" borderId="19" xfId="0" applyBorder="1" applyProtection="1">
      <protection locked="0"/>
    </xf>
    <xf numFmtId="0" fontId="0" fillId="0" borderId="12" xfId="0" applyBorder="1" applyProtection="1">
      <protection locked="0"/>
    </xf>
    <xf numFmtId="0" fontId="0" fillId="0" borderId="4" xfId="0" applyBorder="1" applyAlignment="1" applyProtection="1">
      <alignment horizontal="left" indent="2"/>
      <protection locked="0"/>
    </xf>
    <xf numFmtId="44" fontId="3" fillId="6" borderId="10" xfId="1" applyFont="1" applyFill="1" applyBorder="1" applyAlignment="1" applyProtection="1">
      <alignment horizontal="center" vertical="center"/>
      <protection locked="0"/>
    </xf>
    <xf numFmtId="0" fontId="2" fillId="4" borderId="15" xfId="0" applyFont="1" applyFill="1" applyBorder="1" applyAlignment="1" applyProtection="1">
      <alignment horizontal="left" indent="1"/>
      <protection locked="0"/>
    </xf>
    <xf numFmtId="0" fontId="0" fillId="0" borderId="6" xfId="0" applyBorder="1" applyProtection="1">
      <protection locked="0"/>
    </xf>
    <xf numFmtId="10" fontId="3" fillId="6" borderId="25" xfId="1" applyNumberFormat="1" applyFont="1" applyFill="1" applyBorder="1" applyAlignment="1" applyProtection="1">
      <alignment horizontal="right" vertical="center"/>
      <protection locked="0"/>
    </xf>
    <xf numFmtId="10" fontId="3" fillId="6" borderId="26" xfId="1" applyNumberFormat="1" applyFont="1" applyFill="1" applyBorder="1" applyAlignment="1" applyProtection="1">
      <alignment horizontal="right" vertical="center"/>
      <protection locked="0"/>
    </xf>
    <xf numFmtId="44" fontId="3" fillId="6" borderId="10" xfId="1" applyFont="1" applyFill="1" applyBorder="1" applyAlignment="1" applyProtection="1">
      <alignment horizontal="right" vertical="center"/>
      <protection locked="0"/>
    </xf>
    <xf numFmtId="44" fontId="3" fillId="6" borderId="14" xfId="1" applyFont="1" applyFill="1" applyBorder="1" applyAlignment="1" applyProtection="1">
      <alignment horizontal="right" vertical="center"/>
      <protection locked="0"/>
    </xf>
    <xf numFmtId="2" fontId="3" fillId="6" borderId="10" xfId="1" applyNumberFormat="1" applyFont="1" applyFill="1" applyBorder="1" applyAlignment="1" applyProtection="1">
      <alignment horizontal="right" vertical="center"/>
      <protection locked="0"/>
    </xf>
    <xf numFmtId="2" fontId="3" fillId="6" borderId="14" xfId="1" applyNumberFormat="1" applyFont="1" applyFill="1" applyBorder="1" applyAlignment="1" applyProtection="1">
      <alignment horizontal="right" vertical="center"/>
      <protection locked="0"/>
    </xf>
    <xf numFmtId="44" fontId="3" fillId="6" borderId="11" xfId="1" applyFont="1" applyFill="1" applyBorder="1" applyAlignment="1" applyProtection="1">
      <alignment horizontal="right" vertical="center"/>
      <protection locked="0"/>
    </xf>
    <xf numFmtId="44" fontId="3" fillId="6" borderId="16" xfId="1" applyFont="1" applyFill="1" applyBorder="1" applyAlignment="1" applyProtection="1">
      <alignment horizontal="right" vertical="center"/>
      <protection locked="0"/>
    </xf>
    <xf numFmtId="0" fontId="0" fillId="0" borderId="21" xfId="0" applyBorder="1" applyProtection="1">
      <protection locked="0"/>
    </xf>
    <xf numFmtId="0" fontId="0" fillId="0" borderId="22" xfId="0" applyBorder="1" applyProtection="1">
      <protection locked="0"/>
    </xf>
    <xf numFmtId="0" fontId="0" fillId="0" borderId="23" xfId="0" applyBorder="1" applyProtection="1">
      <protection locked="0"/>
    </xf>
    <xf numFmtId="0" fontId="11" fillId="0" borderId="0" xfId="0" applyFont="1" applyProtection="1">
      <protection locked="0"/>
    </xf>
    <xf numFmtId="44" fontId="3" fillId="5" borderId="10" xfId="1" applyFont="1" applyFill="1" applyBorder="1" applyAlignment="1" applyProtection="1">
      <alignment horizontal="center" vertical="center"/>
      <protection locked="0"/>
    </xf>
    <xf numFmtId="44" fontId="3" fillId="7" borderId="14" xfId="1" applyFont="1" applyFill="1" applyBorder="1" applyAlignment="1" applyProtection="1">
      <alignment horizontal="center" vertical="center"/>
      <protection locked="0"/>
    </xf>
    <xf numFmtId="44" fontId="3" fillId="8" borderId="17" xfId="1" applyFont="1" applyFill="1" applyBorder="1" applyAlignment="1" applyProtection="1">
      <alignment horizontal="center" vertical="center"/>
      <protection locked="0"/>
    </xf>
    <xf numFmtId="44" fontId="3" fillId="8" borderId="13" xfId="1" applyFont="1" applyFill="1" applyBorder="1" applyAlignment="1" applyProtection="1">
      <alignment horizontal="center" vertical="center"/>
      <protection locked="0"/>
    </xf>
    <xf numFmtId="0" fontId="2" fillId="4" borderId="15" xfId="0" applyFont="1" applyFill="1" applyBorder="1" applyProtection="1">
      <protection locked="0"/>
    </xf>
    <xf numFmtId="0" fontId="0" fillId="0" borderId="0" xfId="0" applyAlignment="1" applyProtection="1">
      <alignment horizontal="left" indent="1"/>
      <protection locked="0"/>
    </xf>
    <xf numFmtId="0" fontId="0" fillId="0" borderId="1" xfId="0" applyBorder="1" applyProtection="1">
      <protection locked="0"/>
    </xf>
    <xf numFmtId="0" fontId="0" fillId="5" borderId="22" xfId="0" applyFill="1" applyBorder="1" applyProtection="1">
      <protection locked="0"/>
    </xf>
    <xf numFmtId="0" fontId="0" fillId="0" borderId="3" xfId="0" applyBorder="1" applyProtection="1">
      <protection locked="0"/>
    </xf>
    <xf numFmtId="0" fontId="0" fillId="5" borderId="10" xfId="0" applyFill="1" applyBorder="1" applyProtection="1">
      <protection locked="0"/>
    </xf>
    <xf numFmtId="0" fontId="2" fillId="0" borderId="10" xfId="0" applyFont="1" applyBorder="1" applyProtection="1">
      <protection locked="0"/>
    </xf>
    <xf numFmtId="0" fontId="2" fillId="0" borderId="14" xfId="0" applyFont="1" applyBorder="1" applyProtection="1">
      <protection locked="0"/>
    </xf>
    <xf numFmtId="0" fontId="0" fillId="8" borderId="1" xfId="0" applyFill="1" applyBorder="1" applyAlignment="1" applyProtection="1">
      <alignment horizontal="center" vertical="center"/>
    </xf>
    <xf numFmtId="0" fontId="0" fillId="8" borderId="2" xfId="0" applyFill="1" applyBorder="1" applyAlignment="1" applyProtection="1">
      <alignment horizontal="center" vertical="center"/>
    </xf>
    <xf numFmtId="0" fontId="0" fillId="8" borderId="3" xfId="0" applyFill="1" applyBorder="1" applyAlignment="1" applyProtection="1">
      <alignment horizontal="center" vertical="center"/>
    </xf>
    <xf numFmtId="0" fontId="0" fillId="8" borderId="6" xfId="0" applyFill="1" applyBorder="1" applyAlignment="1" applyProtection="1">
      <alignment horizontal="center" vertical="center"/>
    </xf>
    <xf numFmtId="0" fontId="0" fillId="8" borderId="7" xfId="0" applyFill="1" applyBorder="1" applyAlignment="1" applyProtection="1">
      <alignment horizontal="center" vertical="center"/>
    </xf>
    <xf numFmtId="0" fontId="0" fillId="8" borderId="8" xfId="0" applyFill="1" applyBorder="1" applyAlignment="1" applyProtection="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611188</xdr:colOff>
      <xdr:row>2</xdr:row>
      <xdr:rowOff>56901</xdr:rowOff>
    </xdr:to>
    <xdr:pic>
      <xdr:nvPicPr>
        <xdr:cNvPr id="3" name="Picture 2">
          <a:extLst>
            <a:ext uri="{FF2B5EF4-FFF2-40B4-BE49-F238E27FC236}">
              <a16:creationId xmlns:a16="http://schemas.microsoft.com/office/drawing/2014/main" id="{EAFB1A4F-3938-424F-9F58-F66A336EFA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11188" cy="4299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F781-726F-45AD-BCCD-BF57FDFC90B9}">
  <dimension ref="A1:M62"/>
  <sheetViews>
    <sheetView tabSelected="1" zoomScale="120" zoomScaleNormal="120" workbookViewId="0">
      <selection activeCell="F6" sqref="F6:I7"/>
    </sheetView>
  </sheetViews>
  <sheetFormatPr defaultRowHeight="14.5" x14ac:dyDescent="0.35"/>
  <cols>
    <col min="1" max="1" width="31.54296875" style="30" customWidth="1"/>
    <col min="2" max="2" width="15.26953125" style="30" bestFit="1" customWidth="1"/>
    <col min="3" max="3" width="16.7265625" style="30" bestFit="1" customWidth="1"/>
    <col min="4" max="5" width="8.7265625" style="30"/>
    <col min="6" max="6" width="24" style="30" bestFit="1" customWidth="1"/>
    <col min="7" max="7" width="9.7265625" style="30" bestFit="1" customWidth="1"/>
    <col min="8" max="8" width="9.54296875" style="30" bestFit="1" customWidth="1"/>
    <col min="9" max="9" width="12.08984375" style="30" customWidth="1"/>
    <col min="10" max="16384" width="8.7265625" style="30"/>
  </cols>
  <sheetData>
    <row r="1" spans="1:13" x14ac:dyDescent="0.35">
      <c r="A1" s="66" t="s">
        <v>5</v>
      </c>
      <c r="B1" s="67"/>
      <c r="C1" s="68"/>
      <c r="F1" s="18" t="s">
        <v>57</v>
      </c>
      <c r="G1" s="19"/>
      <c r="H1" s="19"/>
      <c r="I1" s="20"/>
    </row>
    <row r="2" spans="1:13" ht="15" customHeight="1" thickBot="1" x14ac:dyDescent="0.4">
      <c r="A2" s="69"/>
      <c r="B2" s="70"/>
      <c r="C2" s="71"/>
      <c r="F2" s="9" t="s">
        <v>61</v>
      </c>
      <c r="G2" s="10"/>
      <c r="H2" s="10"/>
      <c r="I2" s="11"/>
    </row>
    <row r="3" spans="1:13" ht="15" customHeight="1" x14ac:dyDescent="0.35">
      <c r="A3" s="60" t="s">
        <v>64</v>
      </c>
      <c r="B3" s="61" t="s">
        <v>7</v>
      </c>
      <c r="C3" s="62" t="s">
        <v>13</v>
      </c>
      <c r="F3" s="9"/>
      <c r="G3" s="10"/>
      <c r="H3" s="10"/>
      <c r="I3" s="11"/>
    </row>
    <row r="4" spans="1:13" x14ac:dyDescent="0.35">
      <c r="A4" s="35" t="s">
        <v>17</v>
      </c>
      <c r="B4" s="63">
        <v>1900</v>
      </c>
      <c r="C4" s="32"/>
      <c r="F4" s="9" t="s">
        <v>59</v>
      </c>
      <c r="G4" s="10"/>
      <c r="H4" s="10"/>
      <c r="I4" s="11"/>
    </row>
    <row r="5" spans="1:13" x14ac:dyDescent="0.35">
      <c r="A5" s="35" t="s">
        <v>18</v>
      </c>
      <c r="B5" s="63">
        <v>6</v>
      </c>
      <c r="C5" s="32"/>
      <c r="F5" s="9"/>
      <c r="G5" s="10"/>
      <c r="H5" s="10"/>
      <c r="I5" s="11"/>
    </row>
    <row r="6" spans="1:13" x14ac:dyDescent="0.35">
      <c r="A6" s="35" t="s">
        <v>14</v>
      </c>
      <c r="B6" s="63">
        <v>2</v>
      </c>
      <c r="C6" s="32"/>
      <c r="F6" s="9" t="s">
        <v>60</v>
      </c>
      <c r="G6" s="10"/>
      <c r="H6" s="10"/>
      <c r="I6" s="11"/>
    </row>
    <row r="7" spans="1:13" x14ac:dyDescent="0.35">
      <c r="A7" s="35" t="s">
        <v>21</v>
      </c>
      <c r="B7" s="63">
        <v>10</v>
      </c>
      <c r="C7" s="32"/>
      <c r="F7" s="9"/>
      <c r="G7" s="10"/>
      <c r="H7" s="10"/>
      <c r="I7" s="11"/>
    </row>
    <row r="8" spans="1:13" x14ac:dyDescent="0.35">
      <c r="A8" s="35"/>
      <c r="C8" s="32"/>
      <c r="F8" s="9" t="s">
        <v>62</v>
      </c>
      <c r="G8" s="10"/>
      <c r="H8" s="10"/>
      <c r="I8" s="11"/>
    </row>
    <row r="9" spans="1:13" x14ac:dyDescent="0.35">
      <c r="A9" s="58" t="s">
        <v>20</v>
      </c>
      <c r="B9" s="64" t="s">
        <v>1</v>
      </c>
      <c r="C9" s="65" t="s">
        <v>2</v>
      </c>
      <c r="F9" s="9"/>
      <c r="G9" s="10"/>
      <c r="H9" s="10"/>
      <c r="I9" s="11"/>
    </row>
    <row r="10" spans="1:13" x14ac:dyDescent="0.35">
      <c r="A10" s="38" t="s">
        <v>15</v>
      </c>
      <c r="B10" s="1">
        <f>B4 * INDEX(G27:I27, MATCH(B3, G26:I26, 0))</f>
        <v>0</v>
      </c>
      <c r="C10" s="3">
        <f>B10*B$6</f>
        <v>0</v>
      </c>
      <c r="F10" s="9"/>
      <c r="G10" s="10"/>
      <c r="H10" s="10"/>
      <c r="I10" s="11"/>
    </row>
    <row r="11" spans="1:13" x14ac:dyDescent="0.35">
      <c r="A11" s="38" t="s">
        <v>16</v>
      </c>
      <c r="B11" s="1">
        <f>B5 * INDEX(G28:I28, MATCH(B3, G26:I26, 0))</f>
        <v>1500</v>
      </c>
      <c r="C11" s="3">
        <f>B11*B$6</f>
        <v>3000</v>
      </c>
      <c r="F11" s="12" t="s">
        <v>58</v>
      </c>
      <c r="G11" s="13"/>
      <c r="H11" s="13"/>
      <c r="I11" s="14"/>
    </row>
    <row r="12" spans="1:13" ht="14.5" customHeight="1" x14ac:dyDescent="0.35">
      <c r="A12" s="38" t="s">
        <v>0</v>
      </c>
      <c r="B12" s="54"/>
      <c r="C12" s="55">
        <f>B12*B$6</f>
        <v>0</v>
      </c>
      <c r="F12" s="9" t="s">
        <v>63</v>
      </c>
      <c r="G12" s="10"/>
      <c r="H12" s="10"/>
      <c r="I12" s="11"/>
    </row>
    <row r="13" spans="1:13" ht="15" customHeight="1" x14ac:dyDescent="0.35">
      <c r="A13" s="35"/>
      <c r="C13" s="32"/>
      <c r="F13" s="9"/>
      <c r="G13" s="10"/>
      <c r="H13" s="10"/>
      <c r="I13" s="11"/>
    </row>
    <row r="14" spans="1:13" ht="14.5" customHeight="1" thickBot="1" x14ac:dyDescent="0.4">
      <c r="A14" s="37" t="s">
        <v>19</v>
      </c>
      <c r="B14" s="56">
        <f>SUM(B10:B12)</f>
        <v>1500</v>
      </c>
      <c r="C14" s="57">
        <f>SUM(C10:C12)</f>
        <v>3000</v>
      </c>
      <c r="F14" s="9"/>
      <c r="G14" s="10"/>
      <c r="H14" s="10"/>
      <c r="I14" s="11"/>
    </row>
    <row r="15" spans="1:13" ht="15" customHeight="1" thickTop="1" x14ac:dyDescent="0.35">
      <c r="A15" s="35"/>
      <c r="C15" s="32"/>
      <c r="F15" s="9"/>
      <c r="G15" s="10"/>
      <c r="H15" s="10"/>
      <c r="I15" s="11"/>
      <c r="M15" s="53"/>
    </row>
    <row r="16" spans="1:13" x14ac:dyDescent="0.35">
      <c r="A16" s="58" t="s">
        <v>22</v>
      </c>
      <c r="B16" s="59"/>
      <c r="C16" s="32"/>
      <c r="F16" s="9"/>
      <c r="G16" s="10"/>
      <c r="H16" s="10"/>
      <c r="I16" s="11"/>
    </row>
    <row r="17" spans="1:9" x14ac:dyDescent="0.35">
      <c r="A17" s="40" t="s">
        <v>23</v>
      </c>
      <c r="C17" s="32"/>
      <c r="F17" s="9"/>
      <c r="G17" s="10"/>
      <c r="H17" s="10"/>
      <c r="I17" s="11"/>
    </row>
    <row r="18" spans="1:9" x14ac:dyDescent="0.35">
      <c r="A18" s="38" t="s">
        <v>24</v>
      </c>
      <c r="B18" s="39">
        <v>5</v>
      </c>
      <c r="C18" s="3">
        <f t="shared" ref="C18:C24" si="0">B18*B$6</f>
        <v>10</v>
      </c>
      <c r="F18" s="9"/>
      <c r="G18" s="10"/>
      <c r="H18" s="10"/>
      <c r="I18" s="11"/>
    </row>
    <row r="19" spans="1:9" x14ac:dyDescent="0.35">
      <c r="A19" s="38" t="s">
        <v>25</v>
      </c>
      <c r="B19" s="39">
        <v>7</v>
      </c>
      <c r="C19" s="3">
        <f>B19*B$6</f>
        <v>14</v>
      </c>
      <c r="F19" s="9"/>
      <c r="G19" s="10"/>
      <c r="H19" s="10"/>
      <c r="I19" s="11"/>
    </row>
    <row r="20" spans="1:9" x14ac:dyDescent="0.35">
      <c r="A20" s="38" t="s">
        <v>26</v>
      </c>
      <c r="B20" s="39">
        <v>19</v>
      </c>
      <c r="C20" s="3">
        <f t="shared" si="0"/>
        <v>38</v>
      </c>
      <c r="F20" s="9"/>
      <c r="G20" s="10"/>
      <c r="H20" s="10"/>
      <c r="I20" s="11"/>
    </row>
    <row r="21" spans="1:9" ht="15" thickBot="1" x14ac:dyDescent="0.4">
      <c r="A21" s="38" t="s">
        <v>27</v>
      </c>
      <c r="B21" s="39">
        <v>11.5</v>
      </c>
      <c r="C21" s="3">
        <f t="shared" si="0"/>
        <v>23</v>
      </c>
      <c r="F21" s="15"/>
      <c r="G21" s="16"/>
      <c r="H21" s="16"/>
      <c r="I21" s="17"/>
    </row>
    <row r="22" spans="1:9" x14ac:dyDescent="0.35">
      <c r="A22" s="38" t="s">
        <v>28</v>
      </c>
      <c r="B22" s="39">
        <v>25</v>
      </c>
      <c r="C22" s="3">
        <f t="shared" si="0"/>
        <v>50</v>
      </c>
      <c r="F22" s="21" t="s">
        <v>65</v>
      </c>
      <c r="G22" s="22"/>
      <c r="H22" s="22"/>
      <c r="I22" s="23"/>
    </row>
    <row r="23" spans="1:9" x14ac:dyDescent="0.35">
      <c r="A23" s="38" t="s">
        <v>34</v>
      </c>
      <c r="B23" s="1">
        <f xml:space="preserve"> INDEX($G$32:$I$32, MATCH($B$3, $G$26:$I$26, 0))
  + ( B5 * INDEX($G$31:$I$31, MATCH($B$3, $G$26:$I$26, 0)) * INDEX($G$33:$I$33, MATCH($B$3, $G$26:$I$26, 0)) )</f>
        <v>240</v>
      </c>
      <c r="C23" s="3">
        <f t="shared" si="0"/>
        <v>480</v>
      </c>
      <c r="F23" s="24"/>
      <c r="G23" s="25"/>
      <c r="H23" s="25"/>
      <c r="I23" s="26"/>
    </row>
    <row r="24" spans="1:9" ht="14.5" customHeight="1" thickBot="1" x14ac:dyDescent="0.4">
      <c r="A24" s="38" t="s">
        <v>35</v>
      </c>
      <c r="B24" s="1">
        <f xml:space="preserve"> ( (B4/44) * INDEX($G$29:$I$29, MATCH($B$3, $G$26:$I$26, 0)) )
  + ( (B5*2/33) * 4 * B7 )</f>
        <v>14.545454545454547</v>
      </c>
      <c r="C24" s="3">
        <f t="shared" si="0"/>
        <v>29.090909090909093</v>
      </c>
      <c r="F24" s="27"/>
      <c r="G24" s="28"/>
      <c r="H24" s="28"/>
      <c r="I24" s="29"/>
    </row>
    <row r="25" spans="1:9" ht="15" thickBot="1" x14ac:dyDescent="0.4">
      <c r="A25" s="35"/>
      <c r="C25" s="32"/>
    </row>
    <row r="26" spans="1:9" ht="15" thickBot="1" x14ac:dyDescent="0.4">
      <c r="A26" s="37" t="s">
        <v>36</v>
      </c>
      <c r="B26" s="2">
        <f>SUM(B18:B24)</f>
        <v>322.04545454545456</v>
      </c>
      <c r="C26" s="4">
        <f>SUM(C18:C24)</f>
        <v>644.09090909090912</v>
      </c>
      <c r="F26" s="50" t="s">
        <v>10</v>
      </c>
      <c r="G26" s="51" t="s">
        <v>6</v>
      </c>
      <c r="H26" s="51" t="s">
        <v>7</v>
      </c>
      <c r="I26" s="52" t="s">
        <v>8</v>
      </c>
    </row>
    <row r="27" spans="1:9" ht="15" thickTop="1" x14ac:dyDescent="0.35">
      <c r="A27" s="35"/>
      <c r="C27" s="32"/>
      <c r="F27" s="35" t="s">
        <v>11</v>
      </c>
      <c r="G27" s="48">
        <v>0.7</v>
      </c>
      <c r="H27" s="48">
        <v>0</v>
      </c>
      <c r="I27" s="49">
        <v>0.7</v>
      </c>
    </row>
    <row r="28" spans="1:9" ht="14.5" customHeight="1" x14ac:dyDescent="0.35">
      <c r="A28" s="40" t="s">
        <v>40</v>
      </c>
      <c r="C28" s="32"/>
      <c r="F28" s="35" t="s">
        <v>12</v>
      </c>
      <c r="G28" s="44">
        <v>0</v>
      </c>
      <c r="H28" s="44">
        <v>250</v>
      </c>
      <c r="I28" s="45">
        <v>200</v>
      </c>
    </row>
    <row r="29" spans="1:9" x14ac:dyDescent="0.35">
      <c r="A29" s="38" t="s">
        <v>41</v>
      </c>
      <c r="B29" s="39">
        <v>24</v>
      </c>
      <c r="C29" s="3">
        <f t="shared" ref="C29:C37" si="1">B29*B$6</f>
        <v>48</v>
      </c>
      <c r="F29" s="35" t="s">
        <v>29</v>
      </c>
      <c r="G29" s="44">
        <v>0.1</v>
      </c>
      <c r="H29" s="44">
        <v>0</v>
      </c>
      <c r="I29" s="45">
        <v>0.1</v>
      </c>
    </row>
    <row r="30" spans="1:9" x14ac:dyDescent="0.35">
      <c r="A30" s="38" t="s">
        <v>4</v>
      </c>
      <c r="B30" s="1">
        <f xml:space="preserve"> ( INDEX($G$36:$I$36, MATCH($B$3, $G$26:$I$26, 0)) / INDEX($G$38:$I$38, MATCH($B$3, $G$26:$I$26, 0)) )
  * ( INDEX($G$37:$I$37, MATCH($B$3, $G$26:$I$26, 0)) / 2000 )</f>
        <v>32.065217391304344</v>
      </c>
      <c r="C30" s="3">
        <f t="shared" si="1"/>
        <v>64.130434782608688</v>
      </c>
      <c r="F30" s="35" t="s">
        <v>30</v>
      </c>
      <c r="G30" s="44">
        <v>0</v>
      </c>
      <c r="H30" s="44">
        <v>4</v>
      </c>
      <c r="I30" s="45">
        <v>4</v>
      </c>
    </row>
    <row r="31" spans="1:9" x14ac:dyDescent="0.35">
      <c r="A31" s="38" t="s">
        <v>42</v>
      </c>
      <c r="B31" s="39">
        <v>32</v>
      </c>
      <c r="C31" s="3">
        <f t="shared" si="1"/>
        <v>64</v>
      </c>
      <c r="F31" s="35" t="s">
        <v>31</v>
      </c>
      <c r="G31" s="46">
        <v>2</v>
      </c>
      <c r="H31" s="46">
        <v>2</v>
      </c>
      <c r="I31" s="47">
        <v>2</v>
      </c>
    </row>
    <row r="32" spans="1:9" x14ac:dyDescent="0.35">
      <c r="A32" s="38" t="s">
        <v>3</v>
      </c>
      <c r="B32" s="1">
        <f xml:space="preserve"> INDEX($G$34:$I$34, MATCH($B$3, $G$26:$I$26, 0))
  * INDEX($G$35:$I$35, MATCH($B$3, $G$26:$I$26, 0))</f>
        <v>200</v>
      </c>
      <c r="C32" s="3">
        <f t="shared" si="1"/>
        <v>400</v>
      </c>
      <c r="F32" s="35" t="s">
        <v>32</v>
      </c>
      <c r="G32" s="44">
        <v>50</v>
      </c>
      <c r="H32" s="44">
        <v>0</v>
      </c>
      <c r="I32" s="45">
        <v>50</v>
      </c>
    </row>
    <row r="33" spans="1:9" x14ac:dyDescent="0.35">
      <c r="A33" s="38" t="s">
        <v>43</v>
      </c>
      <c r="B33" s="39">
        <v>0</v>
      </c>
      <c r="C33" s="3">
        <f t="shared" si="1"/>
        <v>0</v>
      </c>
      <c r="F33" s="35" t="s">
        <v>33</v>
      </c>
      <c r="G33" s="44">
        <v>0</v>
      </c>
      <c r="H33" s="44">
        <v>20</v>
      </c>
      <c r="I33" s="45">
        <v>20</v>
      </c>
    </row>
    <row r="34" spans="1:9" x14ac:dyDescent="0.35">
      <c r="A34" s="38" t="s">
        <v>44</v>
      </c>
      <c r="B34" s="39">
        <v>0</v>
      </c>
      <c r="C34" s="3">
        <f t="shared" si="1"/>
        <v>0</v>
      </c>
      <c r="F34" s="35" t="s">
        <v>9</v>
      </c>
      <c r="G34" s="46">
        <v>30</v>
      </c>
      <c r="H34" s="46">
        <v>50</v>
      </c>
      <c r="I34" s="47">
        <v>40</v>
      </c>
    </row>
    <row r="35" spans="1:9" x14ac:dyDescent="0.35">
      <c r="A35" s="38" t="s">
        <v>45</v>
      </c>
      <c r="B35" s="39">
        <v>0</v>
      </c>
      <c r="C35" s="3">
        <f t="shared" si="1"/>
        <v>0</v>
      </c>
      <c r="F35" s="35" t="s">
        <v>37</v>
      </c>
      <c r="G35" s="44">
        <v>4</v>
      </c>
      <c r="H35" s="44">
        <v>4</v>
      </c>
      <c r="I35" s="45">
        <v>4</v>
      </c>
    </row>
    <row r="36" spans="1:9" x14ac:dyDescent="0.35">
      <c r="A36" s="38" t="s">
        <v>46</v>
      </c>
      <c r="B36" s="39">
        <v>0</v>
      </c>
      <c r="C36" s="3">
        <f t="shared" si="1"/>
        <v>0</v>
      </c>
      <c r="F36" s="35" t="s">
        <v>47</v>
      </c>
      <c r="G36" s="46">
        <v>150</v>
      </c>
      <c r="H36" s="46">
        <v>50</v>
      </c>
      <c r="I36" s="47">
        <v>100</v>
      </c>
    </row>
    <row r="37" spans="1:9" x14ac:dyDescent="0.35">
      <c r="A37" s="38" t="s">
        <v>48</v>
      </c>
      <c r="B37" s="39">
        <v>0</v>
      </c>
      <c r="C37" s="3">
        <f t="shared" si="1"/>
        <v>0</v>
      </c>
      <c r="F37" s="35" t="s">
        <v>39</v>
      </c>
      <c r="G37" s="44">
        <v>590</v>
      </c>
      <c r="H37" s="44">
        <v>590</v>
      </c>
      <c r="I37" s="45">
        <v>590</v>
      </c>
    </row>
    <row r="38" spans="1:9" ht="15" thickBot="1" x14ac:dyDescent="0.4">
      <c r="A38" s="37" t="s">
        <v>49</v>
      </c>
      <c r="B38" s="2">
        <f>SUM(B29:B37)</f>
        <v>288.06521739130437</v>
      </c>
      <c r="C38" s="4">
        <f>SUM(C29:C37)</f>
        <v>576.13043478260875</v>
      </c>
      <c r="F38" s="41" t="s">
        <v>38</v>
      </c>
      <c r="G38" s="42">
        <v>0.46</v>
      </c>
      <c r="H38" s="42">
        <v>0.46</v>
      </c>
      <c r="I38" s="43">
        <v>0.46</v>
      </c>
    </row>
    <row r="39" spans="1:9" ht="15" thickTop="1" x14ac:dyDescent="0.35">
      <c r="A39" s="35"/>
      <c r="C39" s="32"/>
    </row>
    <row r="40" spans="1:9" x14ac:dyDescent="0.35">
      <c r="A40" s="40" t="s">
        <v>50</v>
      </c>
      <c r="C40" s="32"/>
    </row>
    <row r="41" spans="1:9" ht="14.5" customHeight="1" x14ac:dyDescent="0.35">
      <c r="A41" s="38" t="s">
        <v>51</v>
      </c>
      <c r="B41" s="39">
        <v>2.13</v>
      </c>
      <c r="C41" s="3">
        <f t="shared" ref="C41:C43" si="2">B41*B$6</f>
        <v>4.26</v>
      </c>
    </row>
    <row r="42" spans="1:9" x14ac:dyDescent="0.35">
      <c r="A42" s="38" t="s">
        <v>52</v>
      </c>
      <c r="B42" s="39">
        <v>0</v>
      </c>
      <c r="C42" s="3">
        <f t="shared" si="2"/>
        <v>0</v>
      </c>
    </row>
    <row r="43" spans="1:9" ht="14.5" customHeight="1" x14ac:dyDescent="0.35">
      <c r="A43" s="38" t="s">
        <v>48</v>
      </c>
      <c r="B43" s="39">
        <v>0</v>
      </c>
      <c r="C43" s="3">
        <f t="shared" si="2"/>
        <v>0</v>
      </c>
    </row>
    <row r="44" spans="1:9" ht="15" thickBot="1" x14ac:dyDescent="0.4">
      <c r="A44" s="37" t="s">
        <v>49</v>
      </c>
      <c r="B44" s="2">
        <f>SUM(B41:B43)</f>
        <v>2.13</v>
      </c>
      <c r="C44" s="4">
        <f>SUM(C41:C43)</f>
        <v>4.26</v>
      </c>
    </row>
    <row r="45" spans="1:9" ht="15.5" customHeight="1" thickTop="1" thickBot="1" x14ac:dyDescent="0.4">
      <c r="A45" s="35"/>
      <c r="C45" s="32"/>
    </row>
    <row r="46" spans="1:9" ht="15" thickBot="1" x14ac:dyDescent="0.4">
      <c r="A46" s="36" t="s">
        <v>53</v>
      </c>
      <c r="B46" s="7">
        <f>B44+B38+B26</f>
        <v>612.24067193675887</v>
      </c>
      <c r="C46" s="5">
        <f>C44+C38+C26</f>
        <v>1224.4813438735177</v>
      </c>
    </row>
    <row r="47" spans="1:9" ht="15" customHeight="1" thickBot="1" x14ac:dyDescent="0.4">
      <c r="A47" s="34" t="s">
        <v>54</v>
      </c>
      <c r="B47" s="7">
        <f>B14-B46</f>
        <v>887.75932806324113</v>
      </c>
      <c r="C47" s="6">
        <f>C14-C46</f>
        <v>1775.5186561264823</v>
      </c>
    </row>
    <row r="48" spans="1:9" ht="15" thickBot="1" x14ac:dyDescent="0.4">
      <c r="A48" s="35"/>
      <c r="C48" s="32"/>
    </row>
    <row r="49" spans="1:9" ht="15" thickBot="1" x14ac:dyDescent="0.4">
      <c r="A49" s="34" t="s">
        <v>55</v>
      </c>
      <c r="B49" s="7" t="str">
        <f>IF(B3="Dual",
     (B46*0.5) / INDEX($G$27:$I$27, MATCH("Grain", $G$26:$I$26, 0)),
 IF(B3="Grain",
     B46 / INDEX($G$27:$I$27, MATCH(B3, $G$26:$I$26, 0)),
 "" ))</f>
        <v/>
      </c>
      <c r="C49" s="32"/>
    </row>
    <row r="50" spans="1:9" ht="15" thickBot="1" x14ac:dyDescent="0.4">
      <c r="A50" s="34" t="s">
        <v>56</v>
      </c>
      <c r="B50" s="8">
        <f>IF(B3="Dual",
     (B46*0.5) / INDEX($G$28:$I$28, MATCH("Dual", $G$26:$I$26, 0)),
 IF(B3="Fiber",
     B46 / INDEX($G$28:$I$28, MATCH(B3, $G$26:$I$26, 0)),
 "" ))</f>
        <v>2.4489626877470356</v>
      </c>
      <c r="C50" s="33"/>
    </row>
    <row r="51" spans="1:9" ht="14.5" customHeight="1" x14ac:dyDescent="0.35"/>
    <row r="61" spans="1:9" x14ac:dyDescent="0.35">
      <c r="F61" s="31"/>
      <c r="G61" s="31"/>
      <c r="H61" s="31"/>
      <c r="I61" s="31"/>
    </row>
    <row r="62" spans="1:9" x14ac:dyDescent="0.35">
      <c r="F62" s="31"/>
      <c r="G62" s="31"/>
      <c r="H62" s="31"/>
      <c r="I62" s="31"/>
    </row>
  </sheetData>
  <sheetProtection algorithmName="SHA-512" hashValue="20kSBhECa1zjH0Qn/kruh04bgDjgI7fL8L8FB85rzqhqMa0xTQioxSLY3C920+dx+o8BCU0ig86WYc2ZXAE4aA==" saltValue="S7qV+h7/sNXP1/4OWpzEBw==" spinCount="100000" sheet="1" objects="1" scenarios="1"/>
  <mergeCells count="9">
    <mergeCell ref="F22:I24"/>
    <mergeCell ref="F8:I10"/>
    <mergeCell ref="F11:I11"/>
    <mergeCell ref="F12:I21"/>
    <mergeCell ref="A1:C2"/>
    <mergeCell ref="F1:I1"/>
    <mergeCell ref="F2:I3"/>
    <mergeCell ref="F4:I5"/>
    <mergeCell ref="F6:I7"/>
  </mergeCells>
  <dataValidations count="1">
    <dataValidation type="list" allowBlank="1" showInputMessage="1" showErrorMessage="1" sqref="B3" xr:uid="{3227C0B8-24D2-47D7-8E4A-58C9D1ABA9CE}">
      <formula1>"Grain,Fiber,Dual"</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dc:creator>
  <cp:lastModifiedBy>Umer</cp:lastModifiedBy>
  <dcterms:created xsi:type="dcterms:W3CDTF">2025-12-09T18:26:28Z</dcterms:created>
  <dcterms:modified xsi:type="dcterms:W3CDTF">2025-12-10T16:18:35Z</dcterms:modified>
</cp:coreProperties>
</file>